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 Poisson" sheetId="1" state="visible" r:id="rId1"/>
    <sheet name="2 Hipergeometrica" sheetId="2" state="visible" r:id="rId2"/>
    <sheet name="3 Binomial" sheetId="3" state="visible" r:id="rId3"/>
    <sheet name="4 Tabla" sheetId="4" state="visible" r:id="rId4"/>
    <sheet name="5 Normal" sheetId="5" state="visible" r:id="rId5"/>
    <sheet name="6 Total y Bay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000"/>
    <numFmt numFmtId="165" formatCode="0.000000"/>
    <numFmt numFmtId="166" formatCode="$#,##0.00"/>
  </numFmts>
  <fonts count="6">
    <font>
      <name val="Calibri"/>
      <family val="2"/>
      <color theme="1"/>
      <sz val="11"/>
      <scheme val="minor"/>
    </font>
    <font>
      <b val="1"/>
      <color rgb="00FFFFFF"/>
      <sz val="13"/>
    </font>
    <font>
      <i val="1"/>
    </font>
    <font>
      <b val="1"/>
    </font>
    <font>
      <b val="1"/>
      <color rgb="001F4E78"/>
      <sz val="11"/>
    </font>
    <font>
      <b val="1"/>
      <color rgb="00006100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  <fill>
      <patternFill patternType="solid">
        <fgColor rgb="00D9E1F2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0" fillId="3" borderId="1" pivotButton="0" quotePrefix="0" xfId="0"/>
    <xf numFmtId="0" fontId="4" fillId="4" borderId="0" pivotButton="0" quotePrefix="0" xfId="0"/>
    <xf numFmtId="164" fontId="0" fillId="0" borderId="1" pivotButton="0" quotePrefix="0" xfId="0"/>
    <xf numFmtId="164" fontId="5" fillId="5" borderId="0" pivotButton="0" quotePrefix="0" xfId="0"/>
    <xf numFmtId="164" fontId="5" fillId="5" borderId="1" pivotButton="0" quotePrefix="0" xfId="0"/>
    <xf numFmtId="9" fontId="0" fillId="3" borderId="1" pivotButton="0" quotePrefix="0" xfId="0"/>
    <xf numFmtId="165" fontId="0" fillId="0" borderId="1" pivotButton="0" quotePrefix="0" xfId="0"/>
    <xf numFmtId="165" fontId="5" fillId="5" borderId="1" pivotButton="0" quotePrefix="0" xfId="0"/>
    <xf numFmtId="0" fontId="3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pivotButton="0" quotePrefix="0" xfId="0"/>
    <xf numFmtId="166" fontId="5" fillId="5" borderId="1" pivotButton="0" quotePrefix="0" xfId="0"/>
    <xf numFmtId="0" fontId="3" fillId="4" borderId="1" applyAlignment="1" pivotButton="0" quotePrefix="0" xfId="0">
      <alignment vertical="top" wrapText="1"/>
    </xf>
    <xf numFmtId="0" fontId="3" fillId="0" borderId="1" pivotButton="0" quotePrefix="0" xfId="0"/>
    <xf numFmtId="2" fontId="0" fillId="0" borderId="1" pivotButton="0" quotePrefix="0" xfId="0"/>
    <xf numFmtId="164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40" customWidth="1" min="1" max="1"/>
    <col width="16" customWidth="1" min="2" max="2"/>
    <col width="20" customWidth="1" min="3" max="3"/>
    <col width="42" customWidth="1" min="4" max="4"/>
    <col width="12" customWidth="1" min="5" max="5"/>
    <col width="12" customWidth="1" min="6" max="6"/>
  </cols>
  <sheetData>
    <row r="1" ht="28" customHeight="1">
      <c r="A1" s="1" t="inlineStr">
        <is>
          <t>EJERCICIO 1  -  Accidentes de trafico  (POISSON, media = 3)</t>
        </is>
      </c>
    </row>
    <row r="3">
      <c r="A3" s="2" t="inlineStr">
        <is>
          <t>Enunciado: promedio de 3 accidentes por dia. Se modela con la distribucion de POISSON.</t>
        </is>
      </c>
    </row>
    <row r="5">
      <c r="A5" s="3" t="inlineStr">
        <is>
          <t>Media (lambda)</t>
        </is>
      </c>
      <c r="B5" s="4" t="n">
        <v>3</v>
      </c>
    </row>
    <row r="7">
      <c r="A7" s="5" t="inlineStr">
        <is>
          <t>Formula de Excel usada</t>
        </is>
      </c>
      <c r="B7">
        <f>POISSON.DIST(x ; media ; acumulada)</f>
        <v/>
      </c>
    </row>
    <row r="9">
      <c r="A9" s="3" t="inlineStr">
        <is>
          <t>a) P(4 o 5 accidentes) = P(4) + P(5)</t>
        </is>
      </c>
    </row>
    <row r="10">
      <c r="A10" t="inlineStr">
        <is>
          <t>P(X=4)</t>
        </is>
      </c>
      <c r="B10" s="6">
        <f>POISSON.DIST(4,$B$5,FALSE)</f>
        <v/>
      </c>
    </row>
    <row r="11">
      <c r="A11" t="inlineStr">
        <is>
          <t>P(X=5)</t>
        </is>
      </c>
      <c r="B11" s="6">
        <f>POISSON.DIST(5,$B$5,FALSE)</f>
        <v/>
      </c>
    </row>
    <row r="12">
      <c r="A12" s="3" t="inlineStr">
        <is>
          <t>Resultado a)</t>
        </is>
      </c>
      <c r="B12" s="7">
        <f>B10+B11</f>
        <v/>
      </c>
    </row>
    <row r="14">
      <c r="A14" s="3" t="inlineStr">
        <is>
          <t>b) P(hasta 4 accidentes) = P(X&lt;=4)  (acumulada)</t>
        </is>
      </c>
    </row>
    <row r="15">
      <c r="A15" s="3" t="inlineStr">
        <is>
          <t>Resultado b)</t>
        </is>
      </c>
      <c r="B15" s="8">
        <f>POISSON.DIST(4,$B$5,TRUE)</f>
        <v/>
      </c>
    </row>
    <row r="17">
      <c r="A17" s="3" t="inlineStr">
        <is>
          <t>c) P(maximo 5 accidentes) = P(X&lt;=5)  (acumulada)</t>
        </is>
      </c>
    </row>
    <row r="18">
      <c r="A18" s="3" t="inlineStr">
        <is>
          <t>Resultado c)</t>
        </is>
      </c>
      <c r="B18" s="8">
        <f>POISSON.DIST(5,$B$5,TRUE)</f>
        <v/>
      </c>
    </row>
  </sheetData>
  <mergeCells count="6">
    <mergeCell ref="A17:D17"/>
    <mergeCell ref="B7:F7"/>
    <mergeCell ref="A1:F1"/>
    <mergeCell ref="A9:C9"/>
    <mergeCell ref="A3:F3"/>
    <mergeCell ref="A14:D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42" customWidth="1" min="1" max="1"/>
    <col width="16" customWidth="1" min="2" max="2"/>
    <col width="22" customWidth="1" min="3" max="3"/>
    <col width="42" customWidth="1" min="4" max="4"/>
    <col width="12" customWidth="1" min="5" max="5"/>
    <col width="12" customWidth="1" min="6" max="6"/>
  </cols>
  <sheetData>
    <row r="1" ht="28" customHeight="1">
      <c r="A1" s="1" t="inlineStr">
        <is>
          <t>EJERCICIO 2  -  Productos con calidad  (HIPERGEOMETRICA sin reemplazo)</t>
        </is>
      </c>
    </row>
    <row r="3">
      <c r="A3" s="2" t="inlineStr">
        <is>
          <t>Se eligen 3 productos SIN reemplazo de un lote de 10 (8 con calidad, 2 sin calidad). Se usa la distribucion HIPERGEOMETRICA.</t>
        </is>
      </c>
    </row>
    <row r="5">
      <c r="A5" s="3" t="inlineStr">
        <is>
          <t>Tamano del lote (N)</t>
        </is>
      </c>
      <c r="B5" s="4" t="n">
        <v>10</v>
      </c>
    </row>
    <row r="6">
      <c r="A6" s="3" t="inlineStr">
        <is>
          <t>Con calidad en el lote (K)</t>
        </is>
      </c>
      <c r="B6" s="4" t="n">
        <v>8</v>
      </c>
    </row>
    <row r="7">
      <c r="A7" s="3" t="inlineStr">
        <is>
          <t>Sin calidad en el lote</t>
        </is>
      </c>
      <c r="B7" s="4" t="n">
        <v>2</v>
      </c>
    </row>
    <row r="8">
      <c r="A8" s="3" t="inlineStr">
        <is>
          <t>Muestra elegida (n)</t>
        </is>
      </c>
      <c r="B8" s="4" t="n">
        <v>3</v>
      </c>
    </row>
    <row r="11">
      <c r="A11" s="5" t="inlineStr">
        <is>
          <t>Formula de Excel usada</t>
        </is>
      </c>
      <c r="B11">
        <f>HYPGEOM.DIST(exitos_muestra ; n ; K ; N ; acumulada)</f>
        <v/>
      </c>
    </row>
    <row r="13">
      <c r="A13" s="3" t="inlineStr">
        <is>
          <t>a) P(los 3 tengan calidad) = P(X=3 con calidad)</t>
        </is>
      </c>
    </row>
    <row r="14">
      <c r="A14" s="3" t="inlineStr">
        <is>
          <t>Resultado a)</t>
        </is>
      </c>
      <c r="B14" s="8">
        <f>HYPGEOM.DIST(3,$B$8,$B$6,$B$5,FALSE)</f>
        <v/>
      </c>
    </row>
    <row r="16">
      <c r="A16" s="3" t="inlineStr">
        <is>
          <t>b) P(al menos 2 SIN calidad) = P(2 sin calidad) + P(3 sin calidad)</t>
        </is>
      </c>
    </row>
    <row r="17">
      <c r="A17" t="inlineStr">
        <is>
          <t xml:space="preserve">  = con calidad =1 (o sea 2 sin) : P(X=1)</t>
        </is>
      </c>
      <c r="B17" s="6">
        <f>HYPGEOM.DIST(1,$B$8,$B$6,$B$5,FALSE)</f>
        <v/>
      </c>
    </row>
    <row r="18">
      <c r="A18" t="inlineStr">
        <is>
          <t xml:space="preserve">  + con calidad =0 (o sea 3 sin) : P(X=0)</t>
        </is>
      </c>
      <c r="B18" s="6">
        <f>HYPGEOM.DIST(0,$B$8,$B$6,$B$5,FALSE)</f>
        <v/>
      </c>
    </row>
    <row r="19">
      <c r="A19" s="3" t="inlineStr">
        <is>
          <t>Resultado b)</t>
        </is>
      </c>
      <c r="B19" s="8">
        <f>B17+B18</f>
        <v/>
      </c>
    </row>
  </sheetData>
  <mergeCells count="5">
    <mergeCell ref="A16:E16"/>
    <mergeCell ref="A1:F1"/>
    <mergeCell ref="B11:F11"/>
    <mergeCell ref="A3:F3"/>
    <mergeCell ref="A13:D1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42" customWidth="1" min="1" max="1"/>
    <col width="16" customWidth="1" min="2" max="2"/>
    <col width="22" customWidth="1" min="3" max="3"/>
    <col width="42" customWidth="1" min="4" max="4"/>
    <col width="12" customWidth="1" min="5" max="5"/>
    <col width="12" customWidth="1" min="6" max="6"/>
  </cols>
  <sheetData>
    <row r="1" ht="28" customHeight="1">
      <c r="A1" s="1" t="inlineStr">
        <is>
          <t>EJERCICIO 3  -  Edificios mal construidos  (BINOMIAL)</t>
        </is>
      </c>
    </row>
    <row r="3">
      <c r="A3" s="2" t="inlineStr">
        <is>
          <t>Cada edificio esta mal construido con probabilidad 2%. Se construyen 10 (independientes). Se usa la distribucion BINOMIAL.</t>
        </is>
      </c>
    </row>
    <row r="5">
      <c r="A5" s="3" t="inlineStr">
        <is>
          <t>Numero de edificios (n)</t>
        </is>
      </c>
      <c r="B5" s="4" t="n">
        <v>10</v>
      </c>
    </row>
    <row r="6">
      <c r="A6" s="3" t="inlineStr">
        <is>
          <t>Prob. mal construido (p)</t>
        </is>
      </c>
      <c r="B6" s="9" t="n">
        <v>0.02</v>
      </c>
    </row>
    <row r="8">
      <c r="A8" s="5" t="inlineStr">
        <is>
          <t>Formula de Excel usada</t>
        </is>
      </c>
      <c r="B8">
        <f>BINOM.DIST(x ; n ; p ; acumulada)</f>
        <v/>
      </c>
    </row>
    <row r="10">
      <c r="A10" s="3" t="inlineStr">
        <is>
          <t>a) P(al menos 3) = 1 - P(X&lt;=2)</t>
        </is>
      </c>
    </row>
    <row r="11">
      <c r="A11" t="inlineStr">
        <is>
          <t>P(X&lt;=2) acumulada</t>
        </is>
      </c>
      <c r="B11" s="10">
        <f>BINOM.DIST(2,$B$5,$B$6,TRUE)</f>
        <v/>
      </c>
    </row>
    <row r="12">
      <c r="A12" s="3" t="inlineStr">
        <is>
          <t>Resultado a)</t>
        </is>
      </c>
      <c r="B12" s="11">
        <f>1-B11</f>
        <v/>
      </c>
    </row>
    <row r="14">
      <c r="A14" s="3" t="inlineStr">
        <is>
          <t>b) P(exactamente 2) = P(X=2)</t>
        </is>
      </c>
    </row>
    <row r="15">
      <c r="A15" s="3" t="inlineStr">
        <is>
          <t>Resultado b)</t>
        </is>
      </c>
      <c r="B15" s="11">
        <f>BINOM.DIST(2,$B$5,$B$6,FALSE)</f>
        <v/>
      </c>
    </row>
  </sheetData>
  <mergeCells count="5">
    <mergeCell ref="A1:F1"/>
    <mergeCell ref="B8:F8"/>
    <mergeCell ref="A3:F3"/>
    <mergeCell ref="A10:D10"/>
    <mergeCell ref="A14:D1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  <col width="14" customWidth="1" min="5" max="5"/>
    <col width="20" customWidth="1" min="6" max="6"/>
  </cols>
  <sheetData>
    <row r="1" ht="28" customHeight="1">
      <c r="A1" s="1" t="inlineStr">
        <is>
          <t>EJERCICIO 4  -  Tabla de contingencia  (probabilidad clasica)</t>
        </is>
      </c>
    </row>
    <row r="3">
      <c r="A3" s="2" t="inlineStr">
        <is>
          <t>Datos de la encuesta (genero vs centro comercial):</t>
        </is>
      </c>
    </row>
    <row r="5">
      <c r="A5" s="12" t="inlineStr">
        <is>
          <t>Genero</t>
        </is>
      </c>
      <c r="B5" s="12" t="inlineStr">
        <is>
          <t>Andares</t>
        </is>
      </c>
      <c r="C5" s="12" t="inlineStr">
        <is>
          <t>Galerias</t>
        </is>
      </c>
      <c r="D5" s="12" t="inlineStr">
        <is>
          <t>La Perla</t>
        </is>
      </c>
      <c r="E5" s="12" t="inlineStr">
        <is>
          <t>Total</t>
        </is>
      </c>
    </row>
    <row r="6">
      <c r="A6" s="12" t="inlineStr">
        <is>
          <t>Masculino</t>
        </is>
      </c>
      <c r="B6" s="13" t="n">
        <v>100</v>
      </c>
      <c r="C6" s="13" t="n">
        <v>150</v>
      </c>
      <c r="D6" s="13" t="n">
        <v>50</v>
      </c>
      <c r="E6" s="13">
        <f>SUM(B6:D6)</f>
        <v/>
      </c>
    </row>
    <row r="7">
      <c r="A7" s="12" t="inlineStr">
        <is>
          <t>Femenino</t>
        </is>
      </c>
      <c r="B7" s="13" t="n">
        <v>100</v>
      </c>
      <c r="C7" s="13" t="n">
        <v>50</v>
      </c>
      <c r="D7" s="13" t="n">
        <v>50</v>
      </c>
      <c r="E7" s="13">
        <f>SUM(B7:D7)</f>
        <v/>
      </c>
    </row>
    <row r="8">
      <c r="A8" s="12" t="inlineStr">
        <is>
          <t>Total</t>
        </is>
      </c>
      <c r="B8" s="13">
        <f>SUM(B6:B7)</f>
        <v/>
      </c>
      <c r="C8" s="13">
        <f>SUM(C6:C7)</f>
        <v/>
      </c>
      <c r="D8" s="13">
        <f>SUM(D6:D7)</f>
        <v/>
      </c>
      <c r="E8" s="13">
        <f>SUM(E6:E7)</f>
        <v/>
      </c>
    </row>
    <row r="11">
      <c r="A11" s="3" t="inlineStr">
        <is>
          <t>Total general (n)</t>
        </is>
      </c>
      <c r="B11" s="14">
        <f>E8</f>
        <v/>
      </c>
    </row>
    <row r="13">
      <c r="A13" s="3" t="inlineStr">
        <is>
          <t>a) P(Mujer O La Perla) = P(M) + P(La Perla) - P(M y La Perla)</t>
        </is>
      </c>
    </row>
    <row r="14">
      <c r="A14" s="3" t="inlineStr">
        <is>
          <t>Resultado a)</t>
        </is>
      </c>
      <c r="B14" s="8">
        <f>(E7+D8-D7)/$B$11</f>
        <v/>
      </c>
    </row>
    <row r="16">
      <c r="A16" s="3" t="inlineStr">
        <is>
          <t>b) P(Hombre | Andares) = Hombres en Andares / Total Andares</t>
        </is>
      </c>
    </row>
    <row r="17">
      <c r="A17" s="3" t="inlineStr">
        <is>
          <t>Resultado b)</t>
        </is>
      </c>
      <c r="B17" s="8">
        <f>B6/B8</f>
        <v/>
      </c>
    </row>
    <row r="19">
      <c r="A19" s="3" t="inlineStr">
        <is>
          <t>c) P(Mujer Y Galerias) = casos Mujer-Galerias / total</t>
        </is>
      </c>
    </row>
    <row r="20">
      <c r="A20" s="3" t="inlineStr">
        <is>
          <t>Resultado c)</t>
        </is>
      </c>
      <c r="B20" s="8">
        <f>C7/$B$11</f>
        <v/>
      </c>
    </row>
  </sheetData>
  <mergeCells count="5">
    <mergeCell ref="A16:F16"/>
    <mergeCell ref="A13:F13"/>
    <mergeCell ref="A19:F19"/>
    <mergeCell ref="A1:F1"/>
    <mergeCell ref="A3:F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46" customWidth="1" min="1" max="1"/>
    <col width="16" customWidth="1" min="2" max="2"/>
    <col width="22" customWidth="1" min="3" max="3"/>
    <col width="42" customWidth="1" min="4" max="4"/>
    <col width="12" customWidth="1" min="5" max="5"/>
    <col width="12" customWidth="1" min="6" max="6"/>
  </cols>
  <sheetData>
    <row r="1" ht="28" customHeight="1">
      <c r="A1" s="1" t="inlineStr">
        <is>
          <t>EJERCICIO 5  -  Gasto diario  (NORMAL)</t>
        </is>
      </c>
    </row>
    <row r="3">
      <c r="A3" s="2" t="inlineStr">
        <is>
          <t>El gasto diario se distribuye NORMAL con media 2000 y desviacion 800.</t>
        </is>
      </c>
    </row>
    <row r="5">
      <c r="A5" s="3" t="inlineStr">
        <is>
          <t>Media (mu)</t>
        </is>
      </c>
      <c r="B5" s="4" t="n">
        <v>2000</v>
      </c>
    </row>
    <row r="6">
      <c r="A6" s="3" t="inlineStr">
        <is>
          <t>Desviacion (sigma)</t>
        </is>
      </c>
      <c r="B6" s="4" t="n">
        <v>800</v>
      </c>
    </row>
    <row r="8">
      <c r="A8" s="5" t="inlineStr">
        <is>
          <t>Formulas de Excel usadas</t>
        </is>
      </c>
      <c r="B8">
        <f>NORM.DIST(x; mu; sigma; TRUE)   y   =NORM.INV(prob; mu; sigma)</f>
        <v/>
      </c>
    </row>
    <row r="10">
      <c r="A10" s="3" t="inlineStr">
        <is>
          <t>a) P(gasto &lt; 1800  O  gasto &gt; 1900) = P(X&lt;1800) + [1 - P(X&lt;=1900)]</t>
        </is>
      </c>
    </row>
    <row r="11">
      <c r="A11" t="inlineStr">
        <is>
          <t>P(X &lt; 1800)</t>
        </is>
      </c>
      <c r="B11" s="6">
        <f>NORM.DIST(1800,$B$5,$B$6,TRUE)</f>
        <v/>
      </c>
    </row>
    <row r="12">
      <c r="A12" t="inlineStr">
        <is>
          <t>P(X &gt; 1900) = 1 - P(X&lt;=1900)</t>
        </is>
      </c>
      <c r="B12" s="6">
        <f>1-NORM.DIST(1900,$B$5,$B$6,TRUE)</f>
        <v/>
      </c>
    </row>
    <row r="13">
      <c r="A13" s="3" t="inlineStr">
        <is>
          <t>Resultado a)</t>
        </is>
      </c>
      <c r="B13" s="8">
        <f>B11+B12</f>
        <v/>
      </c>
    </row>
    <row r="15">
      <c r="A15" s="3" t="inlineStr">
        <is>
          <t>b) Gasto que separa al 30% de los dias de menor gasto (percentil 30)</t>
        </is>
      </c>
    </row>
    <row r="16">
      <c r="A16" s="3" t="inlineStr">
        <is>
          <t>Resultado b) (percentil 30)</t>
        </is>
      </c>
      <c r="B16" s="15">
        <f>NORM.INV(0.30,$B$5,$B$6)</f>
        <v/>
      </c>
    </row>
  </sheetData>
  <mergeCells count="5">
    <mergeCell ref="A10:F10"/>
    <mergeCell ref="A1:F1"/>
    <mergeCell ref="B8:F8"/>
    <mergeCell ref="A3:F3"/>
    <mergeCell ref="A15:F1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40" customWidth="1" min="1" max="1"/>
    <col width="16" customWidth="1" min="2" max="2"/>
    <col width="16" customWidth="1" min="3" max="3"/>
    <col width="16" customWidth="1" min="4" max="4"/>
    <col width="18" customWidth="1" min="5" max="5"/>
    <col width="14" customWidth="1" min="6" max="6"/>
  </cols>
  <sheetData>
    <row r="1" ht="28" customHeight="1">
      <c r="A1" s="1" t="inlineStr">
        <is>
          <t>EJERCICIO 6  -  Probabilidad Total y Bayes</t>
        </is>
      </c>
    </row>
    <row r="3">
      <c r="A3" s="2" t="inlineStr">
        <is>
          <t>Ingenieria 20%, Administrativos 50%, Humanidades 30% (el resto). Foraneos: Ing 60%, Admin 30% (100-70 locales), Human 60% (100-40 locales).</t>
        </is>
      </c>
    </row>
    <row r="5" ht="30" customHeight="1">
      <c r="A5" s="16" t="inlineStr">
        <is>
          <t>Carrera</t>
        </is>
      </c>
      <c r="B5" s="16" t="inlineStr">
        <is>
          <t>P(carrera)</t>
        </is>
      </c>
      <c r="C5" s="16" t="inlineStr">
        <is>
          <t>P(local)</t>
        </is>
      </c>
      <c r="D5" s="16" t="inlineStr">
        <is>
          <t>P(foraneo)</t>
        </is>
      </c>
      <c r="E5" s="16" t="inlineStr">
        <is>
          <t>P(carr)*P(foraneo)</t>
        </is>
      </c>
      <c r="F5" s="16" t="inlineStr">
        <is>
          <t>P(carr)*P(local)</t>
        </is>
      </c>
    </row>
    <row r="6">
      <c r="A6" s="17" t="inlineStr">
        <is>
          <t>Ingenieria</t>
        </is>
      </c>
      <c r="B6" s="18" t="n">
        <v>0.2</v>
      </c>
      <c r="C6" s="18">
        <f>1-D6</f>
        <v/>
      </c>
      <c r="D6" s="18" t="n">
        <v>0.6</v>
      </c>
      <c r="E6" s="6">
        <f>B6*D6</f>
        <v/>
      </c>
      <c r="F6" s="6">
        <f>B6*C6</f>
        <v/>
      </c>
    </row>
    <row r="7">
      <c r="A7" s="17" t="inlineStr">
        <is>
          <t>Administrativos</t>
        </is>
      </c>
      <c r="B7" s="18" t="n">
        <v>0.5</v>
      </c>
      <c r="C7" s="18" t="n">
        <v>0.7</v>
      </c>
      <c r="D7" s="18">
        <f>1-C7</f>
        <v/>
      </c>
      <c r="E7" s="6">
        <f>B7*D7</f>
        <v/>
      </c>
      <c r="F7" s="6">
        <f>B7*C7</f>
        <v/>
      </c>
    </row>
    <row r="8">
      <c r="A8" s="17" t="inlineStr">
        <is>
          <t>Humanidades</t>
        </is>
      </c>
      <c r="B8" s="18" t="n">
        <v>0.3</v>
      </c>
      <c r="C8" s="18" t="n">
        <v>0.4</v>
      </c>
      <c r="D8" s="18">
        <f>1-C8</f>
        <v/>
      </c>
      <c r="E8" s="6">
        <f>B8*D8</f>
        <v/>
      </c>
      <c r="F8" s="6">
        <f>B8*C8</f>
        <v/>
      </c>
    </row>
    <row r="9">
      <c r="A9" s="3" t="inlineStr">
        <is>
          <t>TOTAL</t>
        </is>
      </c>
      <c r="B9" s="17">
        <f>SUM(B6:B8)</f>
        <v/>
      </c>
      <c r="E9" s="19">
        <f>SUM(E6:E8)</f>
        <v/>
      </c>
      <c r="F9" s="19">
        <f>SUM(F6:F8)</f>
        <v/>
      </c>
    </row>
    <row r="11">
      <c r="A11" s="3" t="inlineStr">
        <is>
          <t>a) P(foraneo) = suma de P(carrera) x P(foraneo|carrera)  [probabilidad total]</t>
        </is>
      </c>
    </row>
    <row r="12">
      <c r="A12" s="3" t="inlineStr">
        <is>
          <t>Resultado a) = P(foraneo)</t>
        </is>
      </c>
      <c r="B12" s="8">
        <f>E9</f>
        <v/>
      </c>
    </row>
    <row r="14">
      <c r="A14" s="3" t="inlineStr">
        <is>
          <t>b) P(Administrativo | local) = [P(Admin) x P(local|Admin)] / P(local)   [Bayes]</t>
        </is>
      </c>
    </row>
    <row r="15">
      <c r="A15" t="inlineStr">
        <is>
          <t>Numerador: P(Admin) x P(local|Admin)</t>
        </is>
      </c>
      <c r="B15" s="6">
        <f>F7</f>
        <v/>
      </c>
    </row>
    <row r="16">
      <c r="A16" t="inlineStr">
        <is>
          <t>Denominador: P(local) total</t>
        </is>
      </c>
      <c r="B16" s="6">
        <f>F9</f>
        <v/>
      </c>
    </row>
    <row r="17">
      <c r="A17" s="3" t="inlineStr">
        <is>
          <t>Resultado b) = P(Admin | local)</t>
        </is>
      </c>
      <c r="B17" s="8">
        <f>B15/B16</f>
        <v/>
      </c>
    </row>
  </sheetData>
  <mergeCells count="4">
    <mergeCell ref="A3:F3"/>
    <mergeCell ref="A14:F14"/>
    <mergeCell ref="A11:F11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2026-09-17T19:19:55Z</dcterms:created>
  <dcterms:modified xsi:type="dcterms:W3CDTF">2026-09-17T19:19:55Z</dcterms:modified>
</cp:coreProperties>
</file>